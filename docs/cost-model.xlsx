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<sst xmlns="http://schemas.openxmlformats.org/spreadsheetml/2006/main" count="59" uniqueCount="59">
  <si>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 xml:space="preserve">Tropical Battery Sales Agent — Per-Call Cost Model</t>
  </si>
  <si>
    <t xml:space="preserve">Blue = editable inputs · Yellow = confirm · Black = formulas. Rates verified Jun 2026; re-check before relying.</t>
  </si>
  <si>
    <t xml:space="preserve">USAGE ASSUMPTIONS</t>
  </si>
  <si>
    <t xml:space="preserve">Avg in-window call duration (min)</t>
  </si>
  <si>
    <t xml:space="preserve">typical sales qualification call</t>
  </si>
  <si>
    <t xml:space="preserve">Calls per day</t>
  </si>
  <si>
    <t xml:space="preserve">CONFIRM — your expected volume (§13.8)</t>
  </si>
  <si>
    <t xml:space="preserve">Operating days / month</t>
  </si>
  <si>
    <t xml:space="preserve">Mon–Sat ≈ 4.33×6</t>
  </si>
  <si>
    <t xml:space="preserve">Share of calls outside window</t>
  </si>
  <si>
    <t xml:space="preserve">go to voicemail</t>
  </si>
  <si>
    <t xml:space="preserve">Voicemail avg duration (min)</t>
  </si>
  <si>
    <t xml:space="preserve">record path</t>
  </si>
  <si>
    <t xml:space="preserve">RATES</t>
  </si>
  <si>
    <t xml:space="preserve">Twilio inbound voice ($/min)</t>
  </si>
  <si>
    <t xml:space="preserve">Source: Twilio pricing, local inbound, Jun 2026</t>
  </si>
  <si>
    <t xml:space="preserve">ConversationRelay ($/min)</t>
  </si>
  <si>
    <t xml:space="preserve">Source: twilio.com/pricing, Jun 2026</t>
  </si>
  <si>
    <t xml:space="preserve">ElevenLabs premium TTS surcharge ($/min)</t>
  </si>
  <si>
    <t xml:space="preserve">CONFIRM if billed on top of CR</t>
  </si>
  <si>
    <t xml:space="preserve">Voicemail transcription ($/min)</t>
  </si>
  <si>
    <t xml:space="preserve">Twilio recording transcription (optional)</t>
  </si>
  <si>
    <t xml:space="preserve">Claude input ($/M tokens)</t>
  </si>
  <si>
    <t xml:space="preserve">Source: Sonnet 4.6, $3/M, Jun 2026</t>
  </si>
  <si>
    <t xml:space="preserve">Claude output ($/M tokens)</t>
  </si>
  <si>
    <t xml:space="preserve">Source: Sonnet 4.6, $15/M, Jun 2026</t>
  </si>
  <si>
    <t xml:space="preserve">Cached-input discount</t>
  </si>
  <si>
    <t xml:space="preserve">system prompt cached (up to 90% off)</t>
  </si>
  <si>
    <t xml:space="preserve">PER-CALL TOKENS (estimate — tune after pilot)</t>
  </si>
  <si>
    <t xml:space="preserve">Fresh input tokens / call</t>
  </si>
  <si>
    <t xml:space="preserve">new transcript turns</t>
  </si>
  <si>
    <t xml:space="preserve">Cached-read tokens / call</t>
  </si>
  <si>
    <t xml:space="preserve">system prompt + re-read history</t>
  </si>
  <si>
    <t xml:space="preserve">Output tokens / call</t>
  </si>
  <si>
    <t xml:space="preserve">agent's spoken replies</t>
  </si>
  <si>
    <t xml:space="preserve">PER-CALL COST</t>
  </si>
  <si>
    <t xml:space="preserve">In-window — voice + CR + TTS</t>
  </si>
  <si>
    <t xml:space="preserve">In-window — Claude tokens</t>
  </si>
  <si>
    <t xml:space="preserve">In-window — TOTAL per call</t>
  </si>
  <si>
    <t xml:space="preserve">Voicemail — TOTAL per call</t>
  </si>
  <si>
    <t xml:space="preserve">record + transcribe; no Claude/CR</t>
  </si>
  <si>
    <t xml:space="preserve">MONTHLY</t>
  </si>
  <si>
    <t xml:space="preserve">Calls / month</t>
  </si>
  <si>
    <t xml:space="preserve">In-window calls / month</t>
  </si>
  <si>
    <t xml:space="preserve">Voicemail calls / month</t>
  </si>
  <si>
    <t xml:space="preserve">Variable cost / month</t>
  </si>
  <si>
    <t xml:space="preserve">FIXED MONTHLY (infrastructure)</t>
  </si>
  <si>
    <t xml:space="preserve">Twilio number rental</t>
  </si>
  <si>
    <t xml:space="preserve">local number/mo</t>
  </si>
  <si>
    <t xml:space="preserve">Hosting (TLS WebSocket host)</t>
  </si>
  <si>
    <t xml:space="preserve">e.g. Render starter</t>
  </si>
  <si>
    <t xml:space="preserve">Supabase project</t>
  </si>
  <si>
    <t xml:space="preserve">dedicated Sales Call Agent project</t>
  </si>
  <si>
    <t xml:space="preserve">Fixed total / month</t>
  </si>
  <si>
    <t xml:space="preserve">ESTIMATED TOTAL</t>
  </si>
  <si>
    <t xml:space="preserve">TOTAL cost / month</t>
  </si>
  <si>
    <t xml:space="preserve">MONTHLY TOTAL BY CALL VOLUME</t>
  </si>
  <si>
    <t xml:space="preserve">Calls/day</t>
  </si>
  <si>
    <t xml:space="preserve">Monthly 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</si>
</sst>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\$#,##0.0000"/>
    <numFmt numFmtId="167" formatCode="\$#,##0.00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A4" s="4" t="s">
        <v>2</v>
      </c>
      <c r="B4" s="5"/>
      <c r="C4" s="4"/>
    </row>
    <row r="5" customFormat="false" ht="15" hidden="false" customHeight="false" outlineLevel="0" collapsed="false">
      <c r="A5" s="6" t="s">
        <v>3</v>
      </c>
      <c r="B5" s="7" t="n">
        <v>4</v>
      </c>
      <c r="C5" s="8" t="s">
        <v>4</v>
      </c>
    </row>
    <row r="6" customFormat="false" ht="15" hidden="false" customHeight="false" outlineLevel="0" collapsed="false">
      <c r="A6" s="6" t="s">
        <v>5</v>
      </c>
      <c r="B6" s="9" t="n">
        <v>10</v>
      </c>
      <c r="C6" s="8" t="s">
        <v>6</v>
      </c>
    </row>
    <row r="7" customFormat="false" ht="15" hidden="false" customHeight="false" outlineLevel="0" collapsed="false">
      <c r="A7" s="6" t="s">
        <v>7</v>
      </c>
      <c r="B7" s="7" t="n">
        <v>26</v>
      </c>
      <c r="C7" s="8" t="s">
        <v>8</v>
      </c>
    </row>
    <row r="8" customFormat="false" ht="15" hidden="false" customHeight="false" outlineLevel="0" collapsed="false">
      <c r="A8" s="6" t="s">
        <v>9</v>
      </c>
      <c r="B8" s="10" t="n">
        <v>0.2</v>
      </c>
      <c r="C8" s="8" t="s">
        <v>10</v>
      </c>
    </row>
    <row r="9" customFormat="false" ht="15" hidden="false" customHeight="false" outlineLevel="0" collapsed="false">
      <c r="A9" s="6" t="s">
        <v>11</v>
      </c>
      <c r="B9" s="7" t="n">
        <v>1.5</v>
      </c>
      <c r="C9" s="8" t="s">
        <v>12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A11" s="4" t="s">
        <v>13</v>
      </c>
      <c r="B11" s="5"/>
      <c r="C11" s="4"/>
    </row>
    <row r="12" customFormat="false" ht="15" hidden="false" customHeight="false" outlineLevel="0" collapsed="false">
      <c r="A12" s="6" t="s">
        <v>14</v>
      </c>
      <c r="B12" s="11" t="n">
        <v>0.0085</v>
      </c>
      <c r="C12" s="8" t="s">
        <v>15</v>
      </c>
    </row>
    <row r="13" customFormat="false" ht="15" hidden="false" customHeight="false" outlineLevel="0" collapsed="false">
      <c r="A13" s="6" t="s">
        <v>16</v>
      </c>
      <c r="B13" s="11" t="n">
        <v>0.07</v>
      </c>
      <c r="C13" s="8" t="s">
        <v>17</v>
      </c>
    </row>
    <row r="14" customFormat="false" ht="15" hidden="false" customHeight="false" outlineLevel="0" collapsed="false">
      <c r="A14" s="6" t="s">
        <v>18</v>
      </c>
      <c r="B14" s="12" t="n">
        <v>0</v>
      </c>
      <c r="C14" s="8" t="s">
        <v>19</v>
      </c>
    </row>
    <row r="15" customFormat="false" ht="15" hidden="false" customHeight="false" outlineLevel="0" collapsed="false">
      <c r="A15" s="6" t="s">
        <v>20</v>
      </c>
      <c r="B15" s="11" t="n">
        <v>0.05</v>
      </c>
      <c r="C15" s="8" t="s">
        <v>21</v>
      </c>
    </row>
    <row r="16" customFormat="false" ht="15" hidden="false" customHeight="false" outlineLevel="0" collapsed="false">
      <c r="A16" s="6" t="s">
        <v>22</v>
      </c>
      <c r="B16" s="13" t="n">
        <v>3</v>
      </c>
      <c r="C16" s="8" t="s">
        <v>23</v>
      </c>
    </row>
    <row r="17" customFormat="false" ht="15" hidden="false" customHeight="false" outlineLevel="0" collapsed="false">
      <c r="A17" s="6" t="s">
        <v>24</v>
      </c>
      <c r="B17" s="13" t="n">
        <v>15</v>
      </c>
      <c r="C17" s="8" t="s">
        <v>25</v>
      </c>
    </row>
    <row r="18" customFormat="false" ht="15" hidden="false" customHeight="false" outlineLevel="0" collapsed="false">
      <c r="A18" s="6" t="s">
        <v>26</v>
      </c>
      <c r="B18" s="10" t="n">
        <v>0.9</v>
      </c>
      <c r="C18" s="8" t="s">
        <v>27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A20" s="4" t="s">
        <v>28</v>
      </c>
      <c r="B20" s="5"/>
      <c r="C20" s="4"/>
    </row>
    <row r="21" customFormat="false" ht="15" hidden="false" customHeight="false" outlineLevel="0" collapsed="false">
      <c r="A21" s="6" t="s">
        <v>29</v>
      </c>
      <c r="B21" s="7" t="n">
        <v>6000</v>
      </c>
      <c r="C21" s="8" t="s">
        <v>30</v>
      </c>
    </row>
    <row r="22" customFormat="false" ht="15" hidden="false" customHeight="false" outlineLevel="0" collapsed="false">
      <c r="A22" s="6" t="s">
        <v>31</v>
      </c>
      <c r="B22" s="7" t="n">
        <v>8000</v>
      </c>
      <c r="C22" s="8" t="s">
        <v>32</v>
      </c>
    </row>
    <row r="23" customFormat="false" ht="15" hidden="false" customHeight="false" outlineLevel="0" collapsed="false">
      <c r="A23" s="6" t="s">
        <v>33</v>
      </c>
      <c r="B23" s="7" t="n">
        <v>1500</v>
      </c>
      <c r="C23" s="8" t="s">
        <v>34</v>
      </c>
    </row>
    <row r="24" customFormat="false" ht="15" hidden="false" customHeight="false" outlineLevel="0" collapsed="false">
      <c r="B24" s="3"/>
    </row>
    <row r="25" customFormat="false" ht="15" hidden="false" customHeight="false" outlineLevel="0" collapsed="false">
      <c r="A25" s="4" t="s">
        <v>35</v>
      </c>
      <c r="B25" s="5"/>
      <c r="C25" s="4"/>
    </row>
    <row r="26" customFormat="false" ht="15" hidden="false" customHeight="false" outlineLevel="0" collapsed="false">
      <c r="A26" s="6" t="s">
        <v>36</v>
      </c>
      <c r="B26" s="14" t="n">
        <f aca="false">$B$5*($B$12+$B$13+$B$14)</f>
        <v>0.314</v>
      </c>
    </row>
    <row r="27" customFormat="false" ht="15" hidden="false" customHeight="false" outlineLevel="0" collapsed="false">
      <c r="A27" s="6" t="s">
        <v>37</v>
      </c>
      <c r="B27" s="14" t="n">
        <f aca="false">$B$21/1000000*$B$16+$B$22/1000000*$B$16*(1-$B$18)+$B$23/1000000*$B$17</f>
        <v>0.0429</v>
      </c>
    </row>
    <row r="28" customFormat="false" ht="15" hidden="false" customHeight="false" outlineLevel="0" collapsed="false">
      <c r="A28" s="15" t="s">
        <v>38</v>
      </c>
      <c r="B28" s="16" t="n">
        <f aca="false">$B$26+$B$27</f>
        <v>0.3569</v>
      </c>
    </row>
    <row r="29" customFormat="false" ht="15" hidden="false" customHeight="false" outlineLevel="0" collapsed="false">
      <c r="A29" s="6" t="s">
        <v>39</v>
      </c>
      <c r="B29" s="14" t="n">
        <f aca="false">$B$9*($B$12+$B$15)</f>
        <v>0.08775</v>
      </c>
      <c r="C29" s="8" t="s">
        <v>40</v>
      </c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A31" s="4" t="s">
        <v>41</v>
      </c>
      <c r="B31" s="5"/>
      <c r="C31" s="4"/>
    </row>
    <row r="32" customFormat="false" ht="15" hidden="false" customHeight="false" outlineLevel="0" collapsed="false">
      <c r="A32" s="6" t="s">
        <v>42</v>
      </c>
      <c r="B32" s="17" t="n">
        <f aca="false">$B$6*$B$7</f>
        <v>260</v>
      </c>
    </row>
    <row r="33" customFormat="false" ht="15" hidden="false" customHeight="false" outlineLevel="0" collapsed="false">
      <c r="A33" s="6" t="s">
        <v>43</v>
      </c>
      <c r="B33" s="17" t="n">
        <f aca="false">$B$32*(1-$B$8)</f>
        <v>208</v>
      </c>
    </row>
    <row r="34" customFormat="false" ht="15" hidden="false" customHeight="false" outlineLevel="0" collapsed="false">
      <c r="A34" s="6" t="s">
        <v>44</v>
      </c>
      <c r="B34" s="17" t="n">
        <f aca="false">$B$32*$B$8</f>
        <v>52</v>
      </c>
    </row>
    <row r="35" customFormat="false" ht="15" hidden="false" customHeight="false" outlineLevel="0" collapsed="false">
      <c r="A35" s="6" t="s">
        <v>45</v>
      </c>
      <c r="B35" s="18" t="n">
        <f aca="false">$B$33*$B$28+$B$34*$B$29</f>
        <v>78.7982</v>
      </c>
    </row>
    <row r="36" customFormat="false" ht="15" hidden="false" customHeight="false" outlineLevel="0" collapsed="false">
      <c r="B36" s="3"/>
    </row>
    <row r="37" customFormat="false" ht="15" hidden="false" customHeight="false" outlineLevel="0" collapsed="false">
      <c r="A37" s="4" t="s">
        <v>46</v>
      </c>
      <c r="B37" s="5"/>
      <c r="C37" s="4"/>
    </row>
    <row r="38" customFormat="false" ht="15" hidden="false" customHeight="false" outlineLevel="0" collapsed="false">
      <c r="A38" s="6" t="s">
        <v>47</v>
      </c>
      <c r="B38" s="13" t="n">
        <v>1.15</v>
      </c>
      <c r="C38" s="8" t="s">
        <v>48</v>
      </c>
    </row>
    <row r="39" customFormat="false" ht="15" hidden="false" customHeight="false" outlineLevel="0" collapsed="false">
      <c r="A39" s="6" t="s">
        <v>49</v>
      </c>
      <c r="B39" s="13" t="n">
        <v>7</v>
      </c>
      <c r="C39" s="8" t="s">
        <v>50</v>
      </c>
    </row>
    <row r="40" customFormat="false" ht="15" hidden="false" customHeight="false" outlineLevel="0" collapsed="false">
      <c r="A40" s="6" t="s">
        <v>51</v>
      </c>
      <c r="B40" s="13" t="n">
        <v>10</v>
      </c>
      <c r="C40" s="8" t="s">
        <v>52</v>
      </c>
    </row>
    <row r="41" customFormat="false" ht="15" hidden="false" customHeight="false" outlineLevel="0" collapsed="false">
      <c r="A41" s="6" t="s">
        <v>53</v>
      </c>
      <c r="B41" s="18" t="n">
        <f aca="false">SUM($B$38:$B$40)</f>
        <v>18.15</v>
      </c>
    </row>
    <row r="42" customFormat="false" ht="15" hidden="false" customHeight="false" outlineLevel="0" collapsed="false">
      <c r="B42" s="3"/>
    </row>
    <row r="43" customFormat="false" ht="15" hidden="false" customHeight="false" outlineLevel="0" collapsed="false">
      <c r="A43" s="4" t="s">
        <v>54</v>
      </c>
      <c r="B43" s="5"/>
      <c r="C43" s="4"/>
    </row>
    <row r="44" customFormat="false" ht="15" hidden="false" customHeight="false" outlineLevel="0" collapsed="false">
      <c r="A44" s="15" t="s">
        <v>55</v>
      </c>
      <c r="B44" s="19" t="n">
        <f aca="false">$B$35+$B$41</f>
        <v>96.9482</v>
      </c>
    </row>
    <row r="45" customFormat="false" ht="15" hidden="false" customHeight="false" outlineLevel="0" collapsed="false">
      <c r="B45" s="3"/>
    </row>
    <row r="46" customFormat="false" ht="15" hidden="false" customHeight="false" outlineLevel="0" collapsed="false">
      <c r="A46" s="4" t="s">
        <v>56</v>
      </c>
      <c r="B46" s="5"/>
      <c r="C46" s="4"/>
    </row>
    <row r="47" customFormat="false" ht="15" hidden="false" customHeight="false" outlineLevel="0" collapsed="false">
      <c r="A47" s="15" t="s">
        <v>57</v>
      </c>
      <c r="B47" s="20" t="s">
        <v>58</v>
      </c>
    </row>
    <row r="48" customFormat="false" ht="15" hidden="false" customHeight="false" outlineLevel="0" collapsed="false">
      <c r="A48" s="21" t="n">
        <v>10</v>
      </c>
      <c r="B48" s="18" t="n">
        <f aca="false">10*$B$7*((1-$B$8)*$B$28+$B$8*$B$29)+$B$41</f>
        <v>96.9482</v>
      </c>
    </row>
    <row r="49" customFormat="false" ht="15" hidden="false" customHeight="false" outlineLevel="0" collapsed="false">
      <c r="A49" s="21" t="n">
        <v>25</v>
      </c>
      <c r="B49" s="18" t="n">
        <f aca="false">25*$B$7*((1-$B$8)*$B$28+$B$8*$B$29)+$B$41</f>
        <v>215.1455</v>
      </c>
    </row>
    <row r="50" customFormat="false" ht="15" hidden="false" customHeight="false" outlineLevel="0" collapsed="false">
      <c r="A50" s="21" t="n">
        <v>50</v>
      </c>
      <c r="B50" s="18" t="n">
        <f aca="false">50*$B$7*((1-$B$8)*$B$28+$B$8*$B$29)+$B$41</f>
        <v>412.141</v>
      </c>
    </row>
    <row r="51" customFormat="false" ht="15" hidden="false" customHeight="false" outlineLevel="0" collapsed="false">
      <c r="A51" s="21" t="n">
        <v>100</v>
      </c>
      <c r="B51" s="18" t="n">
        <f aca="false">100*$B$7*((1-$B$8)*$B$28+$B$8*$B$29)+$B$41</f>
        <v>806.132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2026-06-15T03:14:32Z</dcterms:created>
  <dc:creator>openpyxl</dc:creator>
  <dc:description/>
  <dc:language>en-US</dc:language>
  <cp:lastModifiedBy/>
  <dcterms:modified xsi:type="dcterms:W3CDTF">2026-06-15T03:14:32Z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